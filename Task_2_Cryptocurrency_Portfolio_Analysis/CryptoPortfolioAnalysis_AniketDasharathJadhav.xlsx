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Risk Analysis" sheetId="2" r:id="rId6"/>
    <sheet state="visible" name="Portfolio Simulation" sheetId="3" r:id="rId7"/>
    <sheet state="visible" name="Insights &amp; Recommendations" sheetId="4" r:id="rId8"/>
  </sheets>
  <definedNames/>
  <calcPr/>
</workbook>
</file>

<file path=xl/sharedStrings.xml><?xml version="1.0" encoding="utf-8"?>
<sst xmlns="http://schemas.openxmlformats.org/spreadsheetml/2006/main" count="63" uniqueCount="52">
  <si>
    <t>Risk &amp; Volatility Analysis</t>
  </si>
  <si>
    <t>Cryptocurrency Portfolio Analysis</t>
  </si>
  <si>
    <t>Hypothetical ₹1,00,000 Crypto Allocation — 1-Year Backtest</t>
  </si>
  <si>
    <t>Metric</t>
  </si>
  <si>
    <t>CodeAlpha Finance &amp; Investment Analysis Internship — Task 2</t>
  </si>
  <si>
    <t>Insights &amp; Recommendations</t>
  </si>
  <si>
    <t>Illustrative only — assumes investment made 1 year ago at then-prevailing prices, using approximate observed 1-year returns.</t>
  </si>
  <si>
    <t>Bitcoin (BTC)</t>
  </si>
  <si>
    <t>Diversification benefit</t>
  </si>
  <si>
    <t>Ethereum (ETH)</t>
  </si>
  <si>
    <t>Solana (SOL)</t>
  </si>
  <si>
    <t>Total Investment (₹)</t>
  </si>
  <si>
    <t>52-Wk Range Spread (proxy for volatility)</t>
  </si>
  <si>
    <t>Assets: Bitcoin (BTC), Ethereum (ETH), Solana (SOL)  |  Data as of: September 7, 2026  |  Currency: USD</t>
  </si>
  <si>
    <t>Combining BTC, ETH and SOL spans three distinct risk/return profiles — a conservative 'store of value' anchor, a mid-risk platform play, and a high-beta growth bet — rather than three correlated bets on the same theme.</t>
  </si>
  <si>
    <t>Asset</t>
  </si>
  <si>
    <t>USD/INR Exchange Rate (approx.)</t>
  </si>
  <si>
    <t>Current Price ($)</t>
  </si>
  <si>
    <t>52-Wk Low ($)</t>
  </si>
  <si>
    <t>52-Wk High ($)</t>
  </si>
  <si>
    <t>Market Cap ($B)</t>
  </si>
  <si>
    <t>1-Yr Return (%)</t>
  </si>
  <si>
    <t>90-Day Realized Volatility (%)</t>
  </si>
  <si>
    <t>Risk Tier</t>
  </si>
  <si>
    <t>Risk-adjusted positioning</t>
  </si>
  <si>
    <t>Allocation (%)</t>
  </si>
  <si>
    <t>Bitcoin's lower relative volatility (~41% realized) and largest market cap make it suited as the 'core' holding; Solana's higher volatility (~80%) suggests it should be sized as a smaller, higher-conviction 'satellite' position.</t>
  </si>
  <si>
    <t>Amount Invested (₹)</t>
  </si>
  <si>
    <t>Current Value (₹)</t>
  </si>
  <si>
    <t>All three de-rated over 12 months</t>
  </si>
  <si>
    <t>Gain / (Loss) (₹)</t>
  </si>
  <si>
    <t>Despite strong fundamentals-side news (ETF approvals, network upgrades, institutional treasuries), all three assets are down over the trailing year, reflecting a broad 2026 crypto market correction rather than asset-specific weakness.</t>
  </si>
  <si>
    <t>Suggested allocation logic</t>
  </si>
  <si>
    <t>A 45% BTC / 30% ETH / 25% SOL split (as modelled in the Portfolio Simulation tab) tilts toward capital preservation while retaining meaningful upside exposure — investors with higher risk tolerance could shift weight toward ETH/SOL, and more conservative investors could raise the BTC weight further.</t>
  </si>
  <si>
    <t>Key monitorables going forward</t>
  </si>
  <si>
    <t>US Fed rate policy and spot-ETF flows (all three), Ethereum's Layer-2 scaling roadmap, and Solana's Alpenglow upgrade (targeting ~150ms finality, rolling out through Q4 2026).</t>
  </si>
  <si>
    <t>Disclaimer: This analysis is prepared for educational purposes as part of the CodeAlpha internship and does not constitute investment advice. Cryptocurrency investments carry substantial risk of loss. Verify current prices before making any decisions.</t>
  </si>
  <si>
    <t>Lower</t>
  </si>
  <si>
    <t>Medium</t>
  </si>
  <si>
    <t>Higher</t>
  </si>
  <si>
    <t>Source: CoinDesk, CoinGecko, CoinMarketCap, Investing.com, DropStab research (accessed Sept 7-8, 2026). Returns and volatility are approximate, based on publicly available market data.</t>
  </si>
  <si>
    <t>90-Day Realized Volatility (annualized-style, %)</t>
  </si>
  <si>
    <t>1-Year Return (%)</t>
  </si>
  <si>
    <t>Lower (relative)</t>
  </si>
  <si>
    <t>Primary Role in Portfolio</t>
  </si>
  <si>
    <t>Store of value / 'digital gold', hedge vs. inflation</t>
  </si>
  <si>
    <t>Smart-contract platform, DeFi &amp; tokenization infrastructure</t>
  </si>
  <si>
    <t>High-throughput L1, highest growth potential &amp; drawdown risk</t>
  </si>
  <si>
    <t>Interpretation: Volatility rises with market cap size moving down the risk curve — BTC (largest, most institutionally held) is the least volatile of the three; SOL (smallest, most speculative) is the most volatile, per DropStab's Q3 2026 realized-volatility research (~41% BTC vs ~60% ETH vs ~80% SOL, 90-day realized).</t>
  </si>
  <si>
    <t>TOTAL</t>
  </si>
  <si>
    <t>Overall Portfolio Return (%)</t>
  </si>
  <si>
    <t>Note: Change the allocation % (blue cells) or total investment amount to model a different mix. Formulas recalculate automatically.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</si>
</sst>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
    <numFmt numFmtId="165" formatCode="0.0%"/>
    <numFmt numFmtId="166" formatCode="#,##0.0"/>
    <numFmt numFmtId="167" formatCode="0.0"/>
    <numFmt numFmtId="168" formatCode="0.0\%"/>
    <numFmt numFmtId="169" formatCode="\₹#,##0;&quot;(₹&quot;#,##0\)"/>
  </numFmts>
  <fonts count="18">
    <font>
      <sz val="11.0"/>
      <color theme="1"/>
      <name val="Calibri"/>
      <scheme val="minor"/>
    </font>
    <font>
      <b/>
      <sz val="16.0"/>
      <color rgb="FF1F3A5F"/>
      <name val="Arial"/>
    </font>
    <font>
      <b/>
      <sz val="18.0"/>
      <color rgb="FF1F3A5F"/>
      <name val="Arial"/>
    </font>
    <font>
      <b/>
      <sz val="15.0"/>
      <color rgb="FF1F3A5F"/>
      <name val="Arial"/>
    </font>
    <font>
      <b/>
      <sz val="11.0"/>
      <color rgb="FFFFFFFF"/>
      <name val="Arial"/>
    </font>
    <font>
      <i/>
      <sz val="10.0"/>
      <color rgb="FF6B7280"/>
      <name val="Arial"/>
    </font>
    <font>
      <i/>
      <sz val="11.0"/>
      <color rgb="FF6B7280"/>
      <name val="Arial"/>
    </font>
    <font>
      <b/>
      <sz val="12.0"/>
      <color rgb="FF1F3A5F"/>
      <name val="Arial"/>
    </font>
    <font>
      <b/>
      <sz val="11.0"/>
      <color theme="1"/>
      <name val="Arial"/>
    </font>
    <font>
      <b/>
      <sz val="10.0"/>
      <color theme="1"/>
      <name val="Arial"/>
    </font>
    <font>
      <sz val="10.0"/>
      <color rgb="FF6B7280"/>
      <name val="Arial"/>
    </font>
    <font>
      <b/>
      <sz val="11.0"/>
      <color rgb="FF0000FF"/>
      <name val="Arial"/>
    </font>
    <font>
      <sz val="10.0"/>
      <color rgb="FF222222"/>
      <name val="Arial"/>
    </font>
    <font>
      <sz val="11.0"/>
      <color rgb="FF0000FF"/>
      <name val="Arial"/>
    </font>
    <font>
      <sz val="10.0"/>
      <color theme="1"/>
      <name val="Arial"/>
    </font>
    <font>
      <i/>
      <sz val="9.0"/>
      <color rgb="FF6B7280"/>
      <name val="Arial"/>
    </font>
    <font>
      <sz val="11.0"/>
      <color rgb="FF222222"/>
      <name val="Arial"/>
    </font>
    <font>
      <sz val="11.0"/>
      <color theme="1"/>
      <name val="Calibri"/>
    </font>
  </fonts>
  <fills count="5">
    <fill>
      <patternFill patternType="none"/>
    </fill>
    <fill>
      <patternFill patternType="lightGray"/>
    </fill>
    <fill>
      <patternFill patternType="solid">
        <fgColor rgb="FF2E7D6B"/>
        <bgColor rgb="FF2E7D6B"/>
      </patternFill>
    </fill>
    <fill>
      <patternFill patternType="solid">
        <fgColor rgb="FF1F3A5F"/>
        <bgColor rgb="FF1F3A5F"/>
      </patternFill>
    </fill>
    <fill>
      <patternFill patternType="solid">
        <fgColor rgb="FFC9962C"/>
        <bgColor rgb="FFC9962C"/>
      </patternFill>
    </fill>
  </fills>
  <borders count="2">
    <border/>
    <border>
      <left style="thin">
        <color rgb="FFD9D5CB"/>
      </left>
      <right style="thin">
        <color rgb="FFD9D5CB"/>
      </right>
      <top style="thin">
        <color rgb="FFD9D5CB"/>
      </top>
      <bottom style="thin">
        <color rgb="FFD9D5CB"/>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0" fillId="0" fontId="5" numFmtId="0" xfId="0" applyAlignment="1" applyFont="1">
      <alignmen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1" fillId="0" fontId="8" numFmtId="0" xfId="0" applyAlignment="1" applyBorder="1" applyFont="1">
      <alignment shrinkToFit="0" vertical="bottom" wrapText="0"/>
    </xf>
    <xf borderId="1" fillId="0" fontId="9" numFmtId="0" xfId="0" applyAlignment="1" applyBorder="1" applyFont="1">
      <alignment shrinkToFit="0" vertical="center" wrapText="1"/>
    </xf>
    <xf borderId="0" fillId="0" fontId="10" numFmtId="0" xfId="0" applyAlignment="1" applyFont="1">
      <alignment shrinkToFit="0" vertical="bottom" wrapText="0"/>
    </xf>
    <xf borderId="1" fillId="0" fontId="11" numFmtId="164" xfId="0" applyAlignment="1" applyBorder="1" applyFont="1" applyNumberFormat="1">
      <alignment shrinkToFit="0" vertical="bottom" wrapText="0"/>
    </xf>
    <xf borderId="1" fillId="3" fontId="4" numFmtId="0" xfId="0" applyAlignment="1" applyBorder="1" applyFill="1" applyFont="1">
      <alignment horizontal="center" shrinkToFit="0" vertical="center" wrapText="1"/>
    </xf>
    <xf borderId="1" fillId="0" fontId="11" numFmtId="2" xfId="0" applyAlignment="1" applyBorder="1" applyFont="1" applyNumberFormat="1">
      <alignment shrinkToFit="0" vertical="bottom" wrapText="0"/>
    </xf>
    <xf borderId="0" fillId="0" fontId="12" numFmtId="0" xfId="0" applyAlignment="1" applyFont="1">
      <alignment shrinkToFit="0" vertical="top" wrapText="1"/>
    </xf>
    <xf borderId="1" fillId="4" fontId="4" numFmtId="0" xfId="0" applyAlignment="1" applyBorder="1" applyFill="1" applyFont="1">
      <alignment horizontal="center" shrinkToFit="0" vertical="center" wrapText="1"/>
    </xf>
    <xf borderId="1" fillId="0" fontId="11" numFmtId="0" xfId="0" applyAlignment="1" applyBorder="1" applyFont="1">
      <alignment horizontal="center" shrinkToFit="0" vertical="center" wrapText="0"/>
    </xf>
    <xf borderId="1" fillId="0" fontId="13" numFmtId="4" xfId="0" applyAlignment="1" applyBorder="1" applyFont="1" applyNumberFormat="1">
      <alignment horizontal="center" shrinkToFit="0" vertical="center" wrapText="0"/>
    </xf>
    <xf borderId="1" fillId="0" fontId="8" numFmtId="0" xfId="0" applyAlignment="1" applyBorder="1" applyFont="1">
      <alignment horizontal="left" shrinkToFit="0" vertical="bottom" wrapText="0"/>
    </xf>
    <xf borderId="1" fillId="0" fontId="14" numFmtId="165" xfId="0" applyAlignment="1" applyBorder="1" applyFont="1" applyNumberFormat="1">
      <alignment horizontal="center" shrinkToFit="0" vertical="center" wrapText="1"/>
    </xf>
    <xf borderId="1" fillId="0" fontId="13" numFmtId="166" xfId="0" applyAlignment="1" applyBorder="1" applyFont="1" applyNumberFormat="1">
      <alignment horizontal="center" shrinkToFit="0" vertical="center" wrapText="0"/>
    </xf>
    <xf borderId="1" fillId="0" fontId="11" numFmtId="9" xfId="0" applyAlignment="1" applyBorder="1" applyFont="1" applyNumberFormat="1">
      <alignment horizontal="center" shrinkToFit="0" vertical="bottom" wrapText="0"/>
    </xf>
    <xf borderId="1" fillId="0" fontId="13" numFmtId="167" xfId="0" applyAlignment="1" applyBorder="1" applyFont="1" applyNumberFormat="1">
      <alignment horizontal="center" shrinkToFit="0" vertical="center" wrapText="0"/>
    </xf>
    <xf borderId="0" fillId="0" fontId="15" numFmtId="0" xfId="0" applyAlignment="1" applyFont="1">
      <alignment shrinkToFit="0" vertical="bottom" wrapText="1"/>
    </xf>
    <xf borderId="1" fillId="0" fontId="16" numFmtId="0" xfId="0" applyAlignment="1" applyBorder="1" applyFont="1">
      <alignment horizontal="center" shrinkToFit="0" vertical="center" wrapText="0"/>
    </xf>
    <xf borderId="1" fillId="0" fontId="17" numFmtId="164" xfId="0" applyAlignment="1" applyBorder="1" applyFont="1" applyNumberFormat="1">
      <alignment horizontal="center" shrinkToFit="0" vertical="bottom" wrapText="0"/>
    </xf>
    <xf borderId="0" fillId="0" fontId="15" numFmtId="0" xfId="0" applyAlignment="1" applyFont="1">
      <alignment shrinkToFit="0" vertical="bottom" wrapText="0"/>
    </xf>
    <xf borderId="1" fillId="0" fontId="17" numFmtId="168" xfId="0" applyAlignment="1" applyBorder="1" applyFont="1" applyNumberFormat="1">
      <alignment horizontal="center" shrinkToFit="0" vertical="bottom" wrapText="0"/>
    </xf>
    <xf borderId="1" fillId="0" fontId="14" numFmtId="167" xfId="0" applyAlignment="1" applyBorder="1" applyFont="1" applyNumberFormat="1">
      <alignment horizontal="center" shrinkToFit="0" vertical="center" wrapText="1"/>
    </xf>
    <xf borderId="1" fillId="0" fontId="17" numFmtId="169" xfId="0" applyAlignment="1" applyBorder="1" applyFont="1" applyNumberFormat="1">
      <alignment horizontal="center" shrinkToFit="0" vertical="bottom" wrapText="0"/>
    </xf>
    <xf borderId="1" fillId="0" fontId="14" numFmtId="0" xfId="0" applyAlignment="1" applyBorder="1" applyFont="1">
      <alignment horizontal="center" shrinkToFit="0" vertical="center" wrapText="1"/>
    </xf>
    <xf borderId="1" fillId="0" fontId="8" numFmtId="9" xfId="0" applyAlignment="1" applyBorder="1" applyFont="1" applyNumberFormat="1">
      <alignment horizontal="center" shrinkToFit="0" vertical="bottom" wrapText="0"/>
    </xf>
    <xf borderId="1" fillId="0" fontId="8" numFmtId="164" xfId="0" applyAlignment="1" applyBorder="1" applyFont="1" applyNumberFormat="1">
      <alignment horizontal="center" shrinkToFit="0" vertical="bottom" wrapText="0"/>
    </xf>
    <xf borderId="1" fillId="0" fontId="17" numFmtId="0" xfId="0" applyAlignment="1" applyBorder="1" applyFont="1">
      <alignment shrinkToFit="0" vertical="bottom" wrapText="0"/>
    </xf>
    <xf borderId="1" fillId="0" fontId="8" numFmtId="169" xfId="0" applyAlignment="1" applyBorder="1" applyFont="1" applyNumberFormat="1">
      <alignment horizontal="center" shrinkToFit="0" vertical="bottom" wrapText="0"/>
    </xf>
    <xf borderId="0" fillId="0" fontId="8" numFmtId="0" xfId="0" applyAlignment="1" applyFont="1">
      <alignment shrinkToFit="0" vertical="bottom" wrapText="0"/>
    </xf>
    <xf borderId="0" fillId="0" fontId="7" numFmtId="165"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6.0"/>
    <col customWidth="1" min="3" max="3" width="15.0"/>
    <col customWidth="1" min="4" max="7" width="14.0"/>
    <col customWidth="1" min="8" max="8" width="20.0"/>
    <col customWidth="1" min="9" max="9" width="12.0"/>
    <col customWidth="1" min="10" max="26" width="8.71"/>
  </cols>
  <sheetData>
    <row r="2">
      <c r="B2" s="2" t="s">
        <v>1</v>
      </c>
    </row>
    <row r="3">
      <c r="B3" s="6" t="s">
        <v>4</v>
      </c>
    </row>
    <row r="4">
      <c r="B4" s="10" t="s">
        <v>13</v>
      </c>
    </row>
    <row r="6">
      <c r="B6" s="12" t="s">
        <v>15</v>
      </c>
      <c r="C6" s="12" t="s">
        <v>17</v>
      </c>
      <c r="D6" s="12" t="s">
        <v>18</v>
      </c>
      <c r="E6" s="12" t="s">
        <v>19</v>
      </c>
      <c r="F6" s="12" t="s">
        <v>20</v>
      </c>
      <c r="G6" s="12" t="s">
        <v>21</v>
      </c>
      <c r="H6" s="12" t="s">
        <v>22</v>
      </c>
      <c r="I6" s="12" t="s">
        <v>23</v>
      </c>
    </row>
    <row r="7">
      <c r="B7" s="16" t="s">
        <v>7</v>
      </c>
      <c r="C7" s="17">
        <v>79700.0</v>
      </c>
      <c r="D7" s="17">
        <v>57832.5</v>
      </c>
      <c r="E7" s="20">
        <v>126186.0</v>
      </c>
      <c r="F7" s="22">
        <v>1580.0</v>
      </c>
      <c r="G7" s="22">
        <v>-28.0</v>
      </c>
      <c r="H7" s="22">
        <v>41.0</v>
      </c>
      <c r="I7" s="24" t="s">
        <v>37</v>
      </c>
    </row>
    <row r="8">
      <c r="B8" s="16" t="s">
        <v>9</v>
      </c>
      <c r="C8" s="17">
        <v>2500.0</v>
      </c>
      <c r="D8" s="17">
        <v>1388.12</v>
      </c>
      <c r="E8" s="20">
        <v>4955.9</v>
      </c>
      <c r="F8" s="22">
        <v>305.0</v>
      </c>
      <c r="G8" s="22">
        <v>-44.0</v>
      </c>
      <c r="H8" s="22">
        <v>60.0</v>
      </c>
      <c r="I8" s="24" t="s">
        <v>38</v>
      </c>
    </row>
    <row r="9">
      <c r="B9" s="16" t="s">
        <v>10</v>
      </c>
      <c r="C9" s="17">
        <v>104.0</v>
      </c>
      <c r="D9" s="17">
        <v>60.2</v>
      </c>
      <c r="E9" s="20">
        <v>253.38</v>
      </c>
      <c r="F9" s="22">
        <v>60.8</v>
      </c>
      <c r="G9" s="22">
        <v>-55.0</v>
      </c>
      <c r="H9" s="22">
        <v>80.0</v>
      </c>
      <c r="I9" s="24" t="s">
        <v>39</v>
      </c>
    </row>
    <row r="11">
      <c r="B11" s="26" t="s">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1:I11"/>
  </mergeCells>
  <printOptions/>
  <pageMargins bottom="1.0" footer="0.0" header="0.0" left="0.3" right="0.3"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34.0"/>
    <col customWidth="1" min="3" max="3" width="22.0"/>
    <col customWidth="1" min="4" max="4" width="26.0"/>
    <col customWidth="1" min="5" max="5" width="30.0"/>
    <col customWidth="1" min="6" max="26" width="8.71"/>
  </cols>
  <sheetData>
    <row r="2">
      <c r="B2" s="1" t="s">
        <v>0</v>
      </c>
    </row>
    <row r="4">
      <c r="B4" s="4" t="s">
        <v>3</v>
      </c>
      <c r="C4" s="4" t="s">
        <v>7</v>
      </c>
      <c r="D4" s="4" t="s">
        <v>9</v>
      </c>
      <c r="E4" s="4" t="s">
        <v>10</v>
      </c>
    </row>
    <row r="5">
      <c r="B5" s="9" t="s">
        <v>12</v>
      </c>
      <c r="C5" s="19">
        <f>(Overview!E7-Overview!D7)/Overview!D7</f>
        <v>1.18192193</v>
      </c>
      <c r="D5" s="19">
        <f>(Overview!E8-Overview!D8)/Overview!D8</f>
        <v>2.570224476</v>
      </c>
      <c r="E5" s="19">
        <f>(Overview!E9-Overview!D9)/Overview!D9</f>
        <v>3.2089701</v>
      </c>
    </row>
    <row r="6">
      <c r="B6" s="9" t="s">
        <v>41</v>
      </c>
      <c r="C6" s="28">
        <f>Overview!H7</f>
        <v>41</v>
      </c>
      <c r="D6" s="28">
        <f>Overview!H8</f>
        <v>60</v>
      </c>
      <c r="E6" s="28">
        <f>Overview!H9</f>
        <v>80</v>
      </c>
    </row>
    <row r="7">
      <c r="B7" s="9" t="s">
        <v>42</v>
      </c>
      <c r="C7" s="28">
        <f>Overview!G7</f>
        <v>-28</v>
      </c>
      <c r="D7" s="28">
        <f>Overview!G8</f>
        <v>-44</v>
      </c>
      <c r="E7" s="28">
        <f>Overview!G9</f>
        <v>-55</v>
      </c>
    </row>
    <row r="8">
      <c r="B8" s="9" t="s">
        <v>23</v>
      </c>
      <c r="C8" s="30" t="s">
        <v>43</v>
      </c>
      <c r="D8" s="30" t="s">
        <v>38</v>
      </c>
      <c r="E8" s="30" t="s">
        <v>39</v>
      </c>
    </row>
    <row r="9" ht="45.0" customHeight="1">
      <c r="B9" s="9" t="s">
        <v>44</v>
      </c>
      <c r="C9" s="30" t="s">
        <v>45</v>
      </c>
      <c r="D9" s="30" t="s">
        <v>46</v>
      </c>
      <c r="E9" s="30" t="s">
        <v>47</v>
      </c>
    </row>
    <row r="11" ht="15.0" customHeight="1">
      <c r="B11" s="23"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1:E13"/>
  </mergeCells>
  <printOptions/>
  <pageMargins bottom="1.0" footer="0.0" header="0.0" left="0.3" right="0.3"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8.0"/>
    <col customWidth="1" min="3" max="3" width="16.0"/>
    <col customWidth="1" min="4" max="4" width="18.0"/>
    <col customWidth="1" min="5" max="5" width="15.0"/>
    <col customWidth="1" min="6" max="7" width="16.0"/>
    <col customWidth="1" min="8" max="26" width="8.71"/>
  </cols>
  <sheetData>
    <row r="2">
      <c r="B2" s="3" t="s">
        <v>2</v>
      </c>
    </row>
    <row r="3">
      <c r="B3" s="5" t="s">
        <v>6</v>
      </c>
    </row>
    <row r="5">
      <c r="B5" s="8" t="s">
        <v>11</v>
      </c>
      <c r="C5" s="11">
        <v>100000.0</v>
      </c>
    </row>
    <row r="6">
      <c r="B6" s="8" t="s">
        <v>16</v>
      </c>
      <c r="C6" s="13">
        <v>88.5</v>
      </c>
    </row>
    <row r="8">
      <c r="B8" s="15" t="s">
        <v>15</v>
      </c>
      <c r="C8" s="15" t="s">
        <v>25</v>
      </c>
      <c r="D8" s="15" t="s">
        <v>27</v>
      </c>
      <c r="E8" s="15" t="s">
        <v>21</v>
      </c>
      <c r="F8" s="15" t="s">
        <v>28</v>
      </c>
      <c r="G8" s="15" t="s">
        <v>30</v>
      </c>
    </row>
    <row r="9">
      <c r="B9" s="18" t="s">
        <v>7</v>
      </c>
      <c r="C9" s="21">
        <v>0.45</v>
      </c>
      <c r="D9" s="25">
        <f t="shared" ref="D9:D11" si="1">$C$5*C9</f>
        <v>45000</v>
      </c>
      <c r="E9" s="27">
        <f>Overview!G7</f>
        <v>-28</v>
      </c>
      <c r="F9" s="25">
        <f t="shared" ref="F9:F11" si="2">D9*(1+E9/100)</f>
        <v>32400</v>
      </c>
      <c r="G9" s="29">
        <f t="shared" ref="G9:G11" si="3">F9-D9</f>
        <v>-12600</v>
      </c>
    </row>
    <row r="10">
      <c r="B10" s="18" t="s">
        <v>9</v>
      </c>
      <c r="C10" s="21">
        <v>0.3</v>
      </c>
      <c r="D10" s="25">
        <f t="shared" si="1"/>
        <v>30000</v>
      </c>
      <c r="E10" s="27">
        <f>Overview!G8</f>
        <v>-44</v>
      </c>
      <c r="F10" s="25">
        <f t="shared" si="2"/>
        <v>16800</v>
      </c>
      <c r="G10" s="29">
        <f t="shared" si="3"/>
        <v>-13200</v>
      </c>
    </row>
    <row r="11">
      <c r="B11" s="18" t="s">
        <v>10</v>
      </c>
      <c r="C11" s="21">
        <v>0.25</v>
      </c>
      <c r="D11" s="25">
        <f t="shared" si="1"/>
        <v>25000</v>
      </c>
      <c r="E11" s="27">
        <f>Overview!G9</f>
        <v>-55</v>
      </c>
      <c r="F11" s="25">
        <f t="shared" si="2"/>
        <v>11250</v>
      </c>
      <c r="G11" s="29">
        <f t="shared" si="3"/>
        <v>-13750</v>
      </c>
    </row>
    <row r="12">
      <c r="B12" s="8" t="s">
        <v>49</v>
      </c>
      <c r="C12" s="31">
        <f t="shared" ref="C12:D12" si="4">SUM(C9:C11)</f>
        <v>1</v>
      </c>
      <c r="D12" s="32">
        <f t="shared" si="4"/>
        <v>100000</v>
      </c>
      <c r="E12" s="33"/>
      <c r="F12" s="32">
        <f t="shared" ref="F12:G12" si="5">SUM(F9:F11)</f>
        <v>60450</v>
      </c>
      <c r="G12" s="34">
        <f t="shared" si="5"/>
        <v>-39550</v>
      </c>
    </row>
    <row r="14">
      <c r="B14" s="35" t="s">
        <v>50</v>
      </c>
      <c r="C14" s="36">
        <f>G12/D12</f>
        <v>-0.3955</v>
      </c>
    </row>
    <row r="16">
      <c r="B16" s="26"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6:G16"/>
  </mergeCells>
  <printOptions/>
  <pageMargins bottom="1.0" footer="0.0" header="0.0" left="0.3" right="0.3"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71"/>
    <col customWidth="1" min="2" max="2" width="3.0"/>
    <col customWidth="1" min="3" max="7" width="15.0"/>
    <col customWidth="1" min="8" max="26" width="8.71"/>
  </cols>
  <sheetData>
    <row r="2">
      <c r="B2" s="1" t="s">
        <v>5</v>
      </c>
    </row>
    <row r="4">
      <c r="B4" s="7" t="s">
        <v>8</v>
      </c>
    </row>
    <row r="5" ht="54.75" customHeight="1">
      <c r="B5" s="14" t="s">
        <v>14</v>
      </c>
    </row>
    <row r="7">
      <c r="B7" s="7" t="s">
        <v>24</v>
      </c>
    </row>
    <row r="8" ht="54.75" customHeight="1">
      <c r="B8" s="14" t="s">
        <v>26</v>
      </c>
    </row>
    <row r="10">
      <c r="B10" s="7" t="s">
        <v>29</v>
      </c>
    </row>
    <row r="11" ht="54.75" customHeight="1">
      <c r="B11" s="14" t="s">
        <v>31</v>
      </c>
    </row>
    <row r="13">
      <c r="B13" s="7" t="s">
        <v>32</v>
      </c>
    </row>
    <row r="14" ht="54.75" customHeight="1">
      <c r="B14" s="14" t="s">
        <v>33</v>
      </c>
    </row>
    <row r="16">
      <c r="B16" s="7" t="s">
        <v>34</v>
      </c>
    </row>
    <row r="17" ht="54.75" customHeight="1">
      <c r="B17" s="14" t="s">
        <v>35</v>
      </c>
    </row>
    <row r="20" ht="15.0" customHeight="1">
      <c r="B20" s="23" t="s">
        <v>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5:G5"/>
    <mergeCell ref="B8:G8"/>
    <mergeCell ref="B11:G11"/>
    <mergeCell ref="B14:G14"/>
    <mergeCell ref="B17:G17"/>
    <mergeCell ref="B20:G22"/>
  </mergeCells>
  <printOptions/>
  <pageMargins bottom="1.0" footer="0.0" header="0.0" left="0.3" right="0.3" top="1.0"/>
  <pageSetup fitToHeight="0" orientation="landscape"/>
  <drawing r:id="rId1"/>
</worksheet>
</file>
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 Allocation" sheetId="1" r:id="rId5"/>
    <sheet state="visible" name="Category Summary" sheetId="2" r:id="rId6"/>
    <sheet state="visible" name="Rationale &amp; Notes" sheetId="3" r:id="rId7"/>
  </sheets>
  <definedNames/>
  <calcPr/>
</workbook>
</file>

<file path=xl/sharedStrings.xml><?xml version="1.0" encoding="utf-8"?>
<sst xmlns="http://schemas.openxmlformats.org/spreadsheetml/2006/main" count="54" uniqueCount="41">
  <si>
    <t>Allocation by Asset Class</t>
  </si>
  <si>
    <t>Hypothetical Investment Portfolio — Rs 1,00,000</t>
  </si>
  <si>
    <t>Asset Class</t>
  </si>
  <si>
    <t>CodeAlpha Finance &amp; Investment Analysis Internship — Task 3</t>
  </si>
  <si>
    <t>Investment Rationale</t>
  </si>
  <si>
    <t>Allocation (%)</t>
  </si>
  <si>
    <t>Amount (Rs)</t>
  </si>
  <si>
    <t>Rationale</t>
  </si>
  <si>
    <t>USD/INR Rate:</t>
  </si>
  <si>
    <t>Why this mix (40% Stocks / 35% ETFs / 25% Crypto)</t>
  </si>
  <si>
    <t>Stocks</t>
  </si>
  <si>
    <t>The split leads with direct equities for the highest expected long-term growth, uses ETFs as a diversified, low-cost stabilizing core, and caps crypto at 25% given its materially higher volatility (see Task 2 analysis: 41-80% realized volatility vs. single-digit-to-teens for equities/ETFs).</t>
  </si>
  <si>
    <t>Data as of: September, 2026  |  USD/INR assumed: 88.50</t>
  </si>
  <si>
    <t>Stock selection logic</t>
  </si>
  <si>
    <t>Tata Motors, Sun Pharma and Bharti Airtel span three non-overlapping sectors (autos, pharma, telecom) with distinct, company-specific growth catalysts identified in Task 1 (CV demerger re-rating, Organon acquisition, ARPU/tariff growth).</t>
  </si>
  <si>
    <t>ETF selection logic</t>
  </si>
  <si>
    <t>Nifty 50 BeES gives broad, low-cost Indian large-cap exposure (0.03% expense ratio). Nasdaq 100 ETF adds international/US tech diversification, reducing dependence on the Indian market alone. Gold BeES acts as a defensive hedge, historically less correlated with equities and crypto.</t>
  </si>
  <si>
    <t>Asset</t>
  </si>
  <si>
    <t>Crypto selection logic</t>
  </si>
  <si>
    <t>Price (Rs)</t>
  </si>
  <si>
    <t>BTC/ETH/SOL are weighted 45/30/25 within the crypto sleeve (per Task 2), tilting toward Bitcoin's relatively lower volatility while retaining exposure to Ethereum's platform growth and Solana's higher-beta upside.</t>
  </si>
  <si>
    <t>Risk management</t>
  </si>
  <si>
    <t>Units (approx.)</t>
  </si>
  <si>
    <t>No single holding exceeds 15% of the total portfolio. The ETF and gold sleeve provides a stabilizing counterweight to the higher-volatility stock and crypto sleeves.</t>
  </si>
  <si>
    <t>Disclaimer: This is a hypothetical portfolio prepared for educational purposes as part of the CodeAlpha internship and does not constitute investment advice. Verify current prices before making any real investment decisions.</t>
  </si>
  <si>
    <t>Tata Motors Ltd (TATAMOTORS)</t>
  </si>
  <si>
    <t>Direct equity exposure to high-conviction Indian large-caps across autos, pharma and telecom for capital growth and sector diversification.</t>
  </si>
  <si>
    <t>ETFs</t>
  </si>
  <si>
    <t>Low-cost, diversified core: broad Indian market (Nifty 50), US tech exposure (Nasdaq 100), and a gold hedge for stability.</t>
  </si>
  <si>
    <t>Crypto</t>
  </si>
  <si>
    <t>Sun Pharmaceutical Industries (SUNPHARMA)</t>
  </si>
  <si>
    <t>Bharti Airtel Ltd (BHARTIARTL)</t>
  </si>
  <si>
    <t>Small, high-conviction allocation to digital assets (BTC/ETH/SOL) for asymmetric growth potential, sized to limit downside.</t>
  </si>
  <si>
    <t>TOTAL</t>
  </si>
  <si>
    <t>Nippon India ETF Nifty 50 BeES (NIFTYBEES)</t>
  </si>
  <si>
    <t>Motilal Oswal Nasdaq 100 ETF (MON100)</t>
  </si>
  <si>
    <t>Nippon India ETF Gold BeES (GOLDBEES)</t>
  </si>
  <si>
    <t>Bitcoin (BTC)</t>
  </si>
  <si>
    <t>Ethereum (ETH)</t>
  </si>
  <si>
    <t>Solana (SOL)</t>
  </si>
  <si>
    <t xml:space="preserve">Note: Crypto amounts are converted to INR using the USD/INR rate in cell F3 (blue, editable).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</si>
</sst>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₹#,##0"/>
    <numFmt numFmtId="165" formatCode="#,##0.0000"/>
  </numFmts>
  <fonts count="18">
    <font>
      <sz val="11.0"/>
      <color theme="1"/>
      <name val="Calibri"/>
      <scheme val="minor"/>
    </font>
    <font>
      <b/>
      <sz val="16.0"/>
      <color rgb="FF1F3A5F"/>
      <name val="Arial"/>
    </font>
    <font>
      <b/>
      <sz val="17.0"/>
      <color rgb="FF1F3A5F"/>
      <name val="Arial"/>
    </font>
    <font>
      <b/>
      <sz val="11.0"/>
      <color rgb="FFFFFFFF"/>
      <name val="Arial"/>
    </font>
    <font>
      <i/>
      <sz val="11.0"/>
      <color rgb="FF6B7280"/>
      <name val="Arial"/>
    </font>
    <font>
      <b/>
      <sz val="10.0"/>
      <color rgb="FF6B7280"/>
      <name val="Arial"/>
    </font>
    <font>
      <b/>
      <sz val="12.0"/>
      <color rgb="FF1F3A5F"/>
      <name val="Arial"/>
    </font>
    <font>
      <b/>
      <sz val="11.0"/>
      <color theme="1"/>
      <name val="Arial"/>
    </font>
    <font>
      <b/>
      <sz val="10.0"/>
      <color rgb="FF0000FF"/>
      <name val="Arial"/>
    </font>
    <font>
      <sz val="10.0"/>
      <color rgb="FF222222"/>
      <name val="Arial"/>
    </font>
    <font>
      <sz val="10.0"/>
      <color rgb="FF6B7280"/>
      <name val="Arial"/>
    </font>
    <font>
      <b/>
      <sz val="10.0"/>
      <color theme="1"/>
      <name val="Arial"/>
    </font>
    <font>
      <i/>
      <sz val="9.0"/>
      <color rgb="FF6B7280"/>
      <name val="Arial"/>
    </font>
    <font>
      <sz val="10.0"/>
      <color theme="1"/>
      <name val="Arial"/>
    </font>
    <font>
      <sz val="11.0"/>
      <color rgb="FF0000FF"/>
      <name val="Arial"/>
    </font>
    <font>
      <b/>
      <sz val="11.0"/>
      <color rgb="FF0000FF"/>
      <name val="Arial"/>
    </font>
    <font>
      <sz val="11.0"/>
      <color theme="1"/>
      <name val="Calibri"/>
    </font>
    <font>
      <sz val="11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E7D6B"/>
        <bgColor rgb="FF2E7D6B"/>
      </patternFill>
    </fill>
    <fill>
      <patternFill patternType="solid">
        <fgColor rgb="FF1F3A5F"/>
        <bgColor rgb="FF1F3A5F"/>
      </patternFill>
    </fill>
  </fills>
  <borders count="2">
    <border/>
    <border>
      <left style="thin">
        <color rgb="FFD9D5CB"/>
      </left>
      <right style="thin">
        <color rgb="FFD9D5CB"/>
      </right>
      <top style="thin">
        <color rgb="FFD9D5CB"/>
      </top>
      <bottom style="thin">
        <color rgb="FFD9D5CB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1" fillId="0" fontId="7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readingOrder="0" shrinkToFit="0" vertical="bottom" wrapText="0"/>
    </xf>
    <xf borderId="1" fillId="3" fontId="3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left" shrinkToFit="0" vertical="center" wrapText="0"/>
    </xf>
    <xf borderId="0" fillId="0" fontId="12" numFmtId="0" xfId="0" applyAlignment="1" applyFont="1">
      <alignment shrinkToFit="0" vertical="bottom" wrapText="1"/>
    </xf>
    <xf borderId="1" fillId="0" fontId="13" numFmtId="0" xfId="0" applyAlignment="1" applyBorder="1" applyFont="1">
      <alignment horizontal="left" shrinkToFit="0" vertical="center" wrapText="1"/>
    </xf>
    <xf borderId="1" fillId="0" fontId="7" numFmtId="9" xfId="0" applyAlignment="1" applyBorder="1" applyFont="1" applyNumberFormat="1">
      <alignment horizontal="center" shrinkToFit="0" vertical="center" wrapText="0"/>
    </xf>
    <xf borderId="1" fillId="0" fontId="14" numFmtId="4" xfId="0" applyAlignment="1" applyBorder="1" applyFont="1" applyNumberFormat="1">
      <alignment horizontal="center" shrinkToFit="0" vertical="bottom" wrapText="0"/>
    </xf>
    <xf borderId="1" fillId="0" fontId="15" numFmtId="10" xfId="0" applyAlignment="1" applyBorder="1" applyFont="1" applyNumberFormat="1">
      <alignment horizontal="center" shrinkToFit="0" vertical="bottom" wrapText="0"/>
    </xf>
    <xf borderId="1" fillId="0" fontId="7" numFmtId="164" xfId="0" applyAlignment="1" applyBorder="1" applyFont="1" applyNumberFormat="1">
      <alignment horizontal="center" shrinkToFit="0" vertical="center" wrapText="0"/>
    </xf>
    <xf borderId="1" fillId="0" fontId="13" numFmtId="0" xfId="0" applyAlignment="1" applyBorder="1" applyFont="1">
      <alignment shrinkToFit="0" vertical="center" wrapText="1"/>
    </xf>
    <xf borderId="1" fillId="0" fontId="7" numFmtId="164" xfId="0" applyAlignment="1" applyBorder="1" applyFont="1" applyNumberFormat="1">
      <alignment horizontal="center" shrinkToFit="0" vertical="bottom" wrapText="0"/>
    </xf>
    <xf borderId="1" fillId="0" fontId="16" numFmtId="165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7" numFmtId="9" xfId="0" applyAlignment="1" applyBorder="1" applyFont="1" applyNumberForma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bottom" wrapText="0"/>
    </xf>
    <xf borderId="1" fillId="0" fontId="16" numFmtId="0" xfId="0" applyAlignment="1" applyBorder="1" applyFont="1">
      <alignment shrinkToFit="0" vertical="bottom" wrapText="0"/>
    </xf>
    <xf borderId="1" fillId="0" fontId="17" numFmtId="4" xfId="0" applyAlignment="1" applyBorder="1" applyFont="1" applyNumberFormat="1">
      <alignment horizontal="center" shrinkToFit="0" vertical="bottom" wrapText="0"/>
    </xf>
    <xf borderId="1" fillId="0" fontId="7" numFmtId="10" xfId="0" applyAlignment="1" applyBorder="1" applyFont="1" applyNumberFormat="1">
      <alignment horizontal="center" shrinkToFit="0" vertical="bottom" wrapText="0"/>
    </xf>
    <xf borderId="0" fillId="0" fontId="1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3" width="38.0"/>
    <col customWidth="1" min="4" max="4" width="12.0"/>
    <col customWidth="1" min="5" max="6" width="14.0"/>
    <col customWidth="1" min="7" max="7" width="16.0"/>
    <col customWidth="1" min="8" max="26" width="8.71"/>
  </cols>
  <sheetData>
    <row r="2">
      <c r="B2" s="2" t="s">
        <v>1</v>
      </c>
    </row>
    <row r="3">
      <c r="B3" s="4" t="s">
        <v>3</v>
      </c>
      <c r="E3" s="5" t="s">
        <v>8</v>
      </c>
      <c r="F3" s="8">
        <v>88.5</v>
      </c>
    </row>
    <row r="4">
      <c r="B4" s="10" t="s">
        <v>12</v>
      </c>
    </row>
    <row r="6">
      <c r="B6" s="11" t="s">
        <v>2</v>
      </c>
      <c r="C6" s="11" t="s">
        <v>17</v>
      </c>
      <c r="D6" s="11" t="s">
        <v>19</v>
      </c>
      <c r="E6" s="11" t="s">
        <v>5</v>
      </c>
      <c r="F6" s="11" t="s">
        <v>6</v>
      </c>
      <c r="G6" s="11" t="s">
        <v>22</v>
      </c>
    </row>
    <row r="7" ht="15.75" customHeight="1">
      <c r="B7" s="12" t="s">
        <v>10</v>
      </c>
      <c r="C7" s="14" t="s">
        <v>25</v>
      </c>
      <c r="D7" s="16">
        <v>475.0</v>
      </c>
      <c r="E7" s="17">
        <v>0.15</v>
      </c>
      <c r="F7" s="20">
        <f t="shared" ref="F7:F15" si="1">100000*E7</f>
        <v>15000</v>
      </c>
      <c r="G7" s="21">
        <f t="shared" ref="G7:G15" si="2">F7/D7</f>
        <v>31.57894737</v>
      </c>
    </row>
    <row r="8">
      <c r="B8" s="12" t="s">
        <v>10</v>
      </c>
      <c r="C8" s="14" t="s">
        <v>30</v>
      </c>
      <c r="D8" s="16">
        <v>1899.0</v>
      </c>
      <c r="E8" s="17">
        <v>0.13</v>
      </c>
      <c r="F8" s="20">
        <f t="shared" si="1"/>
        <v>13000</v>
      </c>
      <c r="G8" s="21">
        <f t="shared" si="2"/>
        <v>6.845708268</v>
      </c>
    </row>
    <row r="9">
      <c r="B9" s="12" t="s">
        <v>10</v>
      </c>
      <c r="C9" s="14" t="s">
        <v>31</v>
      </c>
      <c r="D9" s="16">
        <v>1840.0</v>
      </c>
      <c r="E9" s="17">
        <v>0.12</v>
      </c>
      <c r="F9" s="20">
        <f t="shared" si="1"/>
        <v>12000</v>
      </c>
      <c r="G9" s="21">
        <f t="shared" si="2"/>
        <v>6.52173913</v>
      </c>
    </row>
    <row r="10">
      <c r="B10" s="12" t="s">
        <v>27</v>
      </c>
      <c r="C10" s="14" t="s">
        <v>34</v>
      </c>
      <c r="D10" s="16">
        <v>268.81</v>
      </c>
      <c r="E10" s="17">
        <v>0.15</v>
      </c>
      <c r="F10" s="20">
        <f t="shared" si="1"/>
        <v>15000</v>
      </c>
      <c r="G10" s="21">
        <f t="shared" si="2"/>
        <v>55.80149548</v>
      </c>
    </row>
    <row r="11">
      <c r="B11" s="12" t="s">
        <v>27</v>
      </c>
      <c r="C11" s="14" t="s">
        <v>35</v>
      </c>
      <c r="D11" s="16">
        <v>332.8</v>
      </c>
      <c r="E11" s="17">
        <v>0.12</v>
      </c>
      <c r="F11" s="20">
        <f t="shared" si="1"/>
        <v>12000</v>
      </c>
      <c r="G11" s="21">
        <f t="shared" si="2"/>
        <v>36.05769231</v>
      </c>
    </row>
    <row r="12">
      <c r="B12" s="12" t="s">
        <v>27</v>
      </c>
      <c r="C12" s="14" t="s">
        <v>36</v>
      </c>
      <c r="D12" s="16">
        <v>125.84</v>
      </c>
      <c r="E12" s="17">
        <v>0.08</v>
      </c>
      <c r="F12" s="20">
        <f t="shared" si="1"/>
        <v>8000</v>
      </c>
      <c r="G12" s="21">
        <f t="shared" si="2"/>
        <v>63.57279085</v>
      </c>
    </row>
    <row r="13">
      <c r="B13" s="12" t="s">
        <v>29</v>
      </c>
      <c r="C13" s="14" t="s">
        <v>37</v>
      </c>
      <c r="D13" s="26">
        <f>79700*$F$3</f>
        <v>7053450</v>
      </c>
      <c r="E13" s="17">
        <v>0.1125</v>
      </c>
      <c r="F13" s="20">
        <f t="shared" si="1"/>
        <v>11250</v>
      </c>
      <c r="G13" s="21">
        <f t="shared" si="2"/>
        <v>0.001594964166</v>
      </c>
    </row>
    <row r="14">
      <c r="B14" s="12" t="s">
        <v>29</v>
      </c>
      <c r="C14" s="14" t="s">
        <v>38</v>
      </c>
      <c r="D14" s="26">
        <f>2500*$F$3</f>
        <v>221250</v>
      </c>
      <c r="E14" s="17">
        <v>0.075</v>
      </c>
      <c r="F14" s="20">
        <f t="shared" si="1"/>
        <v>7500</v>
      </c>
      <c r="G14" s="21">
        <f t="shared" si="2"/>
        <v>0.03389830508</v>
      </c>
    </row>
    <row r="15">
      <c r="B15" s="12" t="s">
        <v>29</v>
      </c>
      <c r="C15" s="14" t="s">
        <v>39</v>
      </c>
      <c r="D15" s="26">
        <f>104*$F$3</f>
        <v>9204</v>
      </c>
      <c r="E15" s="17">
        <v>0.0625</v>
      </c>
      <c r="F15" s="20">
        <f t="shared" si="1"/>
        <v>6250</v>
      </c>
      <c r="G15" s="21">
        <f t="shared" si="2"/>
        <v>0.6790525858</v>
      </c>
    </row>
    <row r="16">
      <c r="B16" s="22" t="s">
        <v>33</v>
      </c>
      <c r="C16" s="25"/>
      <c r="D16" s="25"/>
      <c r="E16" s="27">
        <f t="shared" ref="E16:F16" si="3">SUM(E7:E15)</f>
        <v>1</v>
      </c>
      <c r="F16" s="24">
        <f t="shared" si="3"/>
        <v>100000</v>
      </c>
      <c r="G16" s="25"/>
    </row>
    <row r="18" ht="15.0" customHeight="1">
      <c r="B18" s="28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8:G19"/>
  </mergeCells>
  <printOptions/>
  <pageMargins bottom="1.0" footer="0.0" header="0.0" left="0.3" right="0.3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4" width="16.0"/>
    <col customWidth="1" min="5" max="5" width="55.0"/>
    <col customWidth="1" min="6" max="26" width="8.71"/>
  </cols>
  <sheetData>
    <row r="2">
      <c r="B2" s="1" t="s">
        <v>0</v>
      </c>
    </row>
    <row r="4">
      <c r="B4" s="3" t="s">
        <v>2</v>
      </c>
      <c r="C4" s="3" t="s">
        <v>5</v>
      </c>
      <c r="D4" s="3" t="s">
        <v>6</v>
      </c>
      <c r="E4" s="3" t="s">
        <v>7</v>
      </c>
    </row>
    <row r="5" ht="48.0" customHeight="1">
      <c r="B5" s="7" t="s">
        <v>10</v>
      </c>
      <c r="C5" s="15">
        <f>'Portfolio Allocation'!E7+'Portfolio Allocation'!E8+'Portfolio Allocation'!E9</f>
        <v>0.4</v>
      </c>
      <c r="D5" s="18">
        <f>'Portfolio Allocation'!F7+'Portfolio Allocation'!F8+'Portfolio Allocation'!F9</f>
        <v>40000</v>
      </c>
      <c r="E5" s="19" t="s">
        <v>26</v>
      </c>
    </row>
    <row r="6" ht="48.0" customHeight="1">
      <c r="B6" s="7" t="s">
        <v>27</v>
      </c>
      <c r="C6" s="15">
        <f>'Portfolio Allocation'!E10+'Portfolio Allocation'!E11+'Portfolio Allocation'!E12</f>
        <v>0.35</v>
      </c>
      <c r="D6" s="18">
        <f>'Portfolio Allocation'!F10+'Portfolio Allocation'!F11+'Portfolio Allocation'!F12</f>
        <v>35000</v>
      </c>
      <c r="E6" s="19" t="s">
        <v>28</v>
      </c>
    </row>
    <row r="7" ht="48.0" customHeight="1">
      <c r="B7" s="7" t="s">
        <v>29</v>
      </c>
      <c r="C7" s="15">
        <f>'Portfolio Allocation'!E13+'Portfolio Allocation'!E14+'Portfolio Allocation'!E15</f>
        <v>0.25</v>
      </c>
      <c r="D7" s="18">
        <f>'Portfolio Allocation'!F13+'Portfolio Allocation'!F14+'Portfolio Allocation'!F15</f>
        <v>25000</v>
      </c>
      <c r="E7" s="19" t="s">
        <v>32</v>
      </c>
    </row>
    <row r="8">
      <c r="B8" s="22" t="s">
        <v>33</v>
      </c>
      <c r="C8" s="23">
        <f t="shared" ref="C8:D8" si="1">C5+C6+C7</f>
        <v>1</v>
      </c>
      <c r="D8" s="24">
        <f t="shared" si="1"/>
        <v>100000</v>
      </c>
      <c r="E8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3" right="0.3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.0"/>
    <col customWidth="1" min="3" max="7" width="15.0"/>
    <col customWidth="1" min="8" max="26" width="8.71"/>
  </cols>
  <sheetData>
    <row r="2">
      <c r="B2" s="1" t="s">
        <v>4</v>
      </c>
    </row>
    <row r="4">
      <c r="B4" s="6" t="s">
        <v>9</v>
      </c>
    </row>
    <row r="5" ht="54.75" customHeight="1">
      <c r="B5" s="9" t="s">
        <v>11</v>
      </c>
    </row>
    <row r="7">
      <c r="B7" s="6" t="s">
        <v>13</v>
      </c>
    </row>
    <row r="8" ht="54.75" customHeight="1">
      <c r="B8" s="9" t="s">
        <v>14</v>
      </c>
    </row>
    <row r="10">
      <c r="B10" s="6" t="s">
        <v>15</v>
      </c>
    </row>
    <row r="11" ht="54.75" customHeight="1">
      <c r="B11" s="9" t="s">
        <v>16</v>
      </c>
    </row>
    <row r="13">
      <c r="B13" s="6" t="s">
        <v>18</v>
      </c>
    </row>
    <row r="14" ht="54.75" customHeight="1">
      <c r="B14" s="9" t="s">
        <v>20</v>
      </c>
    </row>
    <row r="16">
      <c r="B16" s="6" t="s">
        <v>21</v>
      </c>
    </row>
    <row r="17" ht="54.75" customHeight="1">
      <c r="B17" s="9" t="s">
        <v>23</v>
      </c>
    </row>
    <row r="20" ht="15.0" customHeight="1">
      <c r="B20" s="13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5:G5"/>
    <mergeCell ref="B8:G8"/>
    <mergeCell ref="B11:G11"/>
    <mergeCell ref="B14:G14"/>
    <mergeCell ref="B17:G17"/>
    <mergeCell ref="B20:G22"/>
  </mergeCells>
  <printOptions/>
  <pageMargins bottom="1.0" footer="0.0" header="0.0" left="0.3" right="0.3" top="1.0"/>
  <pageSetup fitToHeight="0" orientation="landscape"/>
  <drawing r:id="rId1"/>
</worksheet>
</file>